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SIMECO\output\usuarios\davide\partida\"/>
    </mc:Choice>
  </mc:AlternateContent>
  <xr:revisionPtr revIDLastSave="0" documentId="13_ncr:1_{F055480A-55DB-4340-AE65-59B6D652FDC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PORTE" sheetId="1" r:id="rId1"/>
    <sheet name="Hoja1" sheetId="8" r:id="rId2"/>
  </sheets>
  <definedNames>
    <definedName name="DatosExternos_1" localSheetId="1">Hoja1!$A$1:$AR$1</definedName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G44" i="1"/>
  <c r="G43" i="1"/>
  <c r="G42" i="1"/>
  <c r="I44" i="1"/>
  <c r="H45" i="1"/>
  <c r="G45" i="1" s="1"/>
  <c r="H44" i="1"/>
  <c r="H43" i="1"/>
  <c r="H42" i="1"/>
  <c r="G30" i="1"/>
  <c r="H36" i="1"/>
  <c r="J36" i="1" s="1"/>
  <c r="I24" i="1"/>
  <c r="H35" i="1"/>
  <c r="I35" i="1" s="1"/>
  <c r="I23" i="1"/>
  <c r="J32" i="1"/>
  <c r="G32" i="1"/>
  <c r="J31" i="1"/>
  <c r="G31" i="1"/>
  <c r="J30" i="1"/>
  <c r="J29" i="1"/>
  <c r="G29" i="1"/>
  <c r="J28" i="1"/>
  <c r="G28" i="1"/>
  <c r="G26" i="1"/>
  <c r="G25" i="1"/>
  <c r="G24" i="1"/>
  <c r="G23" i="1"/>
  <c r="I26" i="1"/>
  <c r="I25" i="1"/>
  <c r="G18" i="1"/>
  <c r="G17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I43" i="1" l="1"/>
  <c r="I45" i="1"/>
  <c r="I42" i="1"/>
  <c r="J35" i="1"/>
  <c r="I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3E3B33-9FF8-488C-9C34-45BFF5F7697B}" name="macroreg" type="6" refreshedVersion="7" background="1" saveData="1">
    <textPr prompt="0" sourceFile="C:\Users\david\OneDrive\Escritorio\SIMECO\output\usuarios\davide\partida\macroreg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<sst xmlns="http://schemas.openxmlformats.org/spreadsheetml/2006/main" count="51" uniqueCount="51">
  <si>
    <t>REPORTE DE CICLOS</t>
  </si>
  <si>
    <t>Reporte de Ciclo 10</t>
  </si>
  <si>
    <t>Historial de Desastres</t>
  </si>
  <si>
    <t>Informacion de la poblacion</t>
  </si>
  <si>
    <t>Venado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</si>
  <si>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</si>
  <si>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</si>
  <si>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</si>
  <si>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</si>
  <si>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</si>
  <si>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</si>
  <si>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</si>
  <si>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</si>
  <si>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</si>
  <si>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</si>
  <si>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</si>
  <si>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</si>
  <si>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</si>
  <si>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</si>
  <si>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</si>
  <si>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</si>
  <si>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</si>
  <si>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</si>
  <si>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</si>
  <si>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</si>
  <si>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</si>
  <si>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</si>
  <si>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</si>
  <si>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</si>
  <si>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</si>
  <si>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</si>
  <si>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</si>
  <si>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</si>
  <si>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</si>
  <si>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</si>
  <si>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Actual</t>
  </si>
  <si>
    <t>Variación de equilibrio</t>
  </si>
  <si>
    <t>Estado del recurso</t>
  </si>
  <si>
    <t>Agua</t>
  </si>
  <si>
    <t>Hierba</t>
  </si>
  <si>
    <t>Año</t>
  </si>
  <si>
    <t>Ciclo</t>
  </si>
  <si>
    <t>Causalidad</t>
  </si>
  <si>
    <t>Puma</t>
  </si>
  <si>
    <t>Equilibrio Natural (≈)</t>
  </si>
  <si>
    <t xml:space="preserve">Sequia </t>
  </si>
  <si>
    <t xml:space="preserve">Incendio </t>
  </si>
  <si>
    <t xml:space="preserve">Inundación </t>
  </si>
  <si>
    <t xml:space="preserve">Huracan </t>
  </si>
  <si>
    <t>Primavera</t>
  </si>
  <si>
    <t>Otonio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</si>
</sst>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  <fill>
      <patternFill patternType="solid">
        <fgColor theme="1"/>
        <bgColor rgb="FF666666"/>
      </patternFill>
    </fill>
    <fill>
      <patternFill patternType="solid">
        <fgColor theme="1"/>
        <bgColor rgb="FF434343"/>
      </patternFill>
    </fill>
    <fill>
      <patternFill patternType="solid">
        <fgColor theme="1"/>
        <bgColor rgb="FFC9DAF8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19" fillId="11" borderId="5" xfId="0" applyFont="1" applyFill="1" applyBorder="1"/>
    <xf numFmtId="0" fontId="8" fillId="16" borderId="4" xfId="0" applyFont="1" applyFill="1" applyBorder="1"/>
    <xf numFmtId="0" fontId="8" fillId="16" borderId="5" xfId="0" applyFont="1" applyFill="1" applyBorder="1"/>
    <xf numFmtId="0" fontId="20" fillId="10" borderId="5" xfId="0" applyFont="1" applyFill="1" applyBorder="1"/>
    <xf numFmtId="0" fontId="20" fillId="10" borderId="6" xfId="0" applyFont="1" applyFill="1" applyBorder="1"/>
    <xf numFmtId="0" fontId="19" fillId="16" borderId="4" xfId="0" applyFont="1" applyFill="1" applyBorder="1"/>
    <xf numFmtId="0" fontId="1" fillId="17" borderId="5" xfId="0" applyFont="1" applyFill="1" applyBorder="1" applyAlignment="1">
      <alignment horizontal="left"/>
    </xf>
    <xf numFmtId="0" fontId="25" fillId="17" borderId="5" xfId="0" applyFont="1" applyFill="1" applyBorder="1" applyAlignment="1">
      <alignment horizontal="left"/>
    </xf>
    <xf numFmtId="0" fontId="1" fillId="17" borderId="6" xfId="0" applyFont="1" applyFill="1" applyBorder="1" applyAlignment="1">
      <alignment horizontal="left"/>
    </xf>
    <xf numFmtId="0" fontId="23" fillId="10" borderId="5" xfId="0" applyFont="1" applyFill="1" applyBorder="1" applyAlignment="1">
      <alignment readingOrder="1"/>
    </xf>
    <xf numFmtId="10" fontId="23" fillId="10" borderId="5" xfId="0" applyNumberFormat="1" applyFont="1" applyFill="1" applyBorder="1" applyAlignment="1">
      <alignment readingOrder="1"/>
    </xf>
    <xf numFmtId="0" fontId="23" fillId="10" borderId="6" xfId="0" applyFont="1" applyFill="1" applyBorder="1" applyAlignment="1">
      <alignment readingOrder="1"/>
    </xf>
    <xf numFmtId="0" fontId="23" fillId="10" borderId="7" xfId="0" applyFont="1" applyFill="1" applyBorder="1" applyAlignment="1">
      <alignment readingOrder="1"/>
    </xf>
    <xf numFmtId="0" fontId="23" fillId="10" borderId="8" xfId="0" applyFont="1" applyFill="1" applyBorder="1" applyAlignment="1">
      <alignment readingOrder="1"/>
    </xf>
    <xf numFmtId="10" fontId="23" fillId="10" borderId="8" xfId="0" applyNumberFormat="1" applyFont="1" applyFill="1" applyBorder="1" applyAlignment="1">
      <alignment readingOrder="1"/>
    </xf>
    <xf numFmtId="0" fontId="23" fillId="10" borderId="9" xfId="0" applyFont="1" applyFill="1" applyBorder="1" applyAlignment="1">
      <alignment readingOrder="1"/>
    </xf>
    <xf numFmtId="0" fontId="12" fillId="10" borderId="5" xfId="0" applyFont="1" applyFill="1" applyBorder="1" applyAlignment="1">
      <alignment readingOrder="1"/>
    </xf>
    <xf numFmtId="10" fontId="12" fillId="10" borderId="5" xfId="0" applyNumberFormat="1" applyFont="1" applyFill="1" applyBorder="1" applyAlignment="1">
      <alignment readingOrder="1"/>
    </xf>
    <xf numFmtId="0" fontId="21" fillId="10" borderId="6" xfId="0" applyFont="1" applyFill="1" applyBorder="1" applyAlignment="1">
      <alignment readingOrder="1"/>
    </xf>
    <xf numFmtId="0" fontId="12" fillId="10" borderId="8" xfId="0" applyFont="1" applyFill="1" applyBorder="1" applyAlignment="1">
      <alignment readingOrder="1"/>
    </xf>
    <xf numFmtId="10" fontId="12" fillId="10" borderId="8" xfId="0" applyNumberFormat="1" applyFont="1" applyFill="1" applyBorder="1" applyAlignment="1">
      <alignment readingOrder="1"/>
    </xf>
    <xf numFmtId="0" fontId="12" fillId="10" borderId="9" xfId="0" applyFont="1" applyFill="1" applyBorder="1" applyAlignment="1">
      <alignment readingOrder="1"/>
    </xf>
    <xf numFmtId="0" fontId="20" fillId="10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  <xf numFmtId="0" fontId="1" fillId="5" borderId="5" xfId="0" applyFont="1" applyFill="1" applyBorder="1" applyAlignment="1">
      <alignment horizontal="center"/>
    </xf>
    <xf numFmtId="0" fontId="4" fillId="0" borderId="5" xfId="0" applyFont="1" applyBorder="1" applyAlignment="1"/>
    <xf numFmtId="0" fontId="4" fillId="0" borderId="6" xfId="0" applyFont="1" applyBorder="1" applyAlignment="1"/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10" borderId="4" xfId="0" applyFont="1" applyFill="1" applyBorder="1" applyAlignment="1">
      <alignment readingOrder="1"/>
    </xf>
    <xf numFmtId="0" fontId="13" fillId="10" borderId="5" xfId="0" applyFont="1" applyFill="1" applyBorder="1" applyAlignment="1">
      <alignment readingOrder="1"/>
    </xf>
    <xf numFmtId="0" fontId="13" fillId="10" borderId="7" xfId="0" applyFont="1" applyFill="1" applyBorder="1" applyAlignment="1">
      <alignment readingOrder="1"/>
    </xf>
    <xf numFmtId="0" fontId="13" fillId="10" borderId="8" xfId="0" applyFont="1" applyFill="1" applyBorder="1" applyAlignment="1">
      <alignment readingOrder="1"/>
    </xf>
    <xf numFmtId="0" fontId="8" fillId="4" borderId="5" xfId="0" applyFont="1" applyFill="1" applyBorder="1" applyAlignment="1">
      <alignment horizontal="left"/>
    </xf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24" fillId="15" borderId="4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24" fillId="15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9" fillId="16" borderId="4" xfId="0" applyFont="1" applyFill="1" applyBorder="1" applyAlignment="1"/>
    <xf numFmtId="0" fontId="19" fillId="16" borderId="5" xfId="0" applyFont="1" applyFill="1" applyBorder="1" applyAlignment="1"/>
    <xf numFmtId="0" fontId="25" fillId="7" borderId="5" xfId="0" applyFont="1" applyFill="1" applyBorder="1" applyAlignment="1"/>
    <xf numFmtId="0" fontId="28" fillId="0" borderId="5" xfId="0" applyFont="1" applyBorder="1" applyAlignment="1"/>
    <xf numFmtId="0" fontId="28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2"/>
                <c:pt idx="0">
                  <c:v>Venado</c:v>
                </c:pt>
                <c:pt idx="1">
                  <c:v>Puma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  <c:pt idx="0">
                  <c:v>57</c:v>
                </c:pt>
                <c:pt idx="1">
                  <c:v>45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  <c:pt idx="0">
                  <c:v>633189</c:v>
                </c:pt>
                <c:pt idx="2">
                  <c:v>783995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  <c:pt idx="0">
                  <c:v>1293541</c:v>
                </c:pt>
                <c:pt idx="2">
                  <c:v>1752257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  <c:pt idx="0">
                  <c:v>40234</c:v>
                </c:pt>
                <c:pt idx="2">
                  <c:v>48269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  <c:pt idx="0">
                  <c:v>159918</c:v>
                </c:pt>
                <c:pt idx="2">
                  <c:v>185648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522925AB-3EE5-49AA-9F60-31585B7EFC55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3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50"/>
      <c r="E1" s="50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51"/>
      <c r="C2" s="6"/>
      <c r="D2" s="50"/>
      <c r="E2" s="50"/>
      <c r="F2" s="78" t="s">
        <v>0</v>
      </c>
      <c r="G2" s="79"/>
      <c r="H2" s="79"/>
      <c r="I2" s="79"/>
      <c r="J2" s="79"/>
      <c r="K2" s="3"/>
      <c r="L2" s="3"/>
      <c r="M2" s="1"/>
    </row>
    <row r="3" spans="1:15" ht="27.75" x14ac:dyDescent="0.4">
      <c r="A3" s="6"/>
      <c r="B3" s="5"/>
      <c r="C3" s="6"/>
      <c r="D3" s="50"/>
      <c r="E3" s="50"/>
      <c r="F3" s="79"/>
      <c r="G3" s="79"/>
      <c r="H3" s="79"/>
      <c r="I3" s="79"/>
      <c r="J3" s="79"/>
      <c r="K3" s="3"/>
      <c r="L3" s="3"/>
      <c r="M3" s="1"/>
    </row>
    <row r="4" spans="1:15" ht="13.5" thickBot="1" x14ac:dyDescent="0.25">
      <c r="A4" s="6"/>
      <c r="B4" s="49"/>
      <c r="C4" s="6"/>
      <c r="D4" s="50"/>
      <c r="E4" s="50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49"/>
      <c r="C5" s="6"/>
      <c r="D5" s="29"/>
      <c r="E5" s="30"/>
      <c r="F5" s="86"/>
      <c r="G5" s="80" t="s">
        <v>1</v>
      </c>
      <c r="H5" s="81"/>
      <c r="I5" s="81"/>
      <c r="J5" s="81"/>
      <c r="K5" s="31"/>
      <c r="L5" s="32"/>
      <c r="M5" s="33"/>
      <c r="N5" s="34"/>
      <c r="O5" s="35"/>
    </row>
    <row r="6" spans="1:15" ht="38.25" customHeight="1" x14ac:dyDescent="0.2">
      <c r="B6" s="2"/>
      <c r="D6" s="36"/>
      <c r="E6" s="4"/>
      <c r="F6" s="79"/>
      <c r="G6" s="82"/>
      <c r="H6" s="82"/>
      <c r="I6" s="82"/>
      <c r="J6" s="82"/>
      <c r="K6" s="7"/>
      <c r="L6" s="8"/>
      <c r="M6" s="6"/>
      <c r="N6" s="6"/>
      <c r="O6" s="37"/>
    </row>
    <row r="7" spans="1:15" ht="21.75" x14ac:dyDescent="0.3">
      <c r="B7" s="2"/>
      <c r="D7" s="36"/>
      <c r="E7" s="4"/>
      <c r="F7" s="85"/>
      <c r="G7" s="79"/>
      <c r="H7" s="79"/>
      <c r="I7" s="79"/>
      <c r="J7" s="79"/>
      <c r="K7" s="9"/>
      <c r="L7" s="10"/>
      <c r="M7" s="6"/>
      <c r="N7" s="6"/>
      <c r="O7" s="37"/>
    </row>
    <row r="8" spans="1:15" ht="16.5" thickBot="1" x14ac:dyDescent="0.3">
      <c r="B8" s="2"/>
      <c r="D8" s="36"/>
      <c r="E8" s="4"/>
      <c r="F8" s="83"/>
      <c r="G8" s="84"/>
      <c r="H8" s="84"/>
      <c r="I8" s="84"/>
      <c r="J8" s="84"/>
      <c r="K8" s="4"/>
      <c r="L8" s="5"/>
      <c r="M8" s="6"/>
      <c r="N8" s="6"/>
      <c r="O8" s="37"/>
    </row>
    <row r="9" spans="1:15" ht="16.5" thickTop="1" x14ac:dyDescent="0.25">
      <c r="B9" s="2"/>
      <c r="D9" s="36"/>
      <c r="E9" s="75" t="s">
        <v>3</v>
      </c>
      <c r="F9" s="76"/>
      <c r="G9" s="76"/>
      <c r="H9" s="76"/>
      <c r="I9" s="76"/>
      <c r="J9" s="77"/>
      <c r="K9" s="4"/>
      <c r="L9" s="6"/>
      <c r="M9" s="6"/>
      <c r="N9" s="6"/>
      <c r="O9" s="37"/>
    </row>
    <row r="10" spans="1:15" ht="12.75" x14ac:dyDescent="0.2">
      <c r="B10" s="2"/>
      <c r="D10" s="36"/>
      <c r="E10" s="122"/>
      <c r="F10" s="123"/>
      <c r="G10" s="25" t="s">
        <v>4</v>
      </c>
      <c r="H10" s="52" t="s">
        <v>43</v>
      </c>
      <c r="I10" s="19"/>
      <c r="J10" s="20"/>
      <c r="K10" s="4"/>
      <c r="L10" s="6"/>
      <c r="M10" s="6"/>
      <c r="N10" s="6"/>
      <c r="O10" s="37"/>
    </row>
    <row r="11" spans="1:15" ht="12.75" x14ac:dyDescent="0.2">
      <c r="B11" s="2"/>
      <c r="D11" s="36"/>
      <c r="E11" s="99" t="s">
        <v>5</v>
      </c>
      <c r="F11" s="100"/>
      <c r="G11" s="21">
        <f>Hoja1!A1</f>
        <v>1096</v>
      </c>
      <c r="H11" s="21">
        <f>Hoja1!B1</f>
        <v>34</v>
      </c>
      <c r="I11" s="21">
        <f>Hoja1!C1</f>
        <v>0</v>
      </c>
      <c r="J11" s="22">
        <f>Hoja1!D1</f>
        <v>0</v>
      </c>
      <c r="K11" s="4"/>
      <c r="L11" s="6"/>
      <c r="M11" s="6"/>
      <c r="N11" s="6"/>
      <c r="O11" s="37"/>
    </row>
    <row r="12" spans="1:15" ht="12.75" x14ac:dyDescent="0.2">
      <c r="D12" s="36"/>
      <c r="E12" s="99" t="s">
        <v>6</v>
      </c>
      <c r="F12" s="100"/>
      <c r="G12" s="21">
        <f>Hoja1!E1</f>
        <v>57</v>
      </c>
      <c r="H12" s="21">
        <f>Hoja1!F1</f>
        <v>45</v>
      </c>
      <c r="I12" s="21">
        <f>Hoja1!G1</f>
        <v>0</v>
      </c>
      <c r="J12" s="22">
        <f>Hoja1!H1</f>
        <v>0</v>
      </c>
      <c r="K12" s="4"/>
      <c r="L12" s="6"/>
      <c r="M12" s="6"/>
      <c r="N12" s="6"/>
      <c r="O12" s="37"/>
    </row>
    <row r="13" spans="1:15" ht="12.75" x14ac:dyDescent="0.2">
      <c r="D13" s="36"/>
      <c r="E13" s="99" t="s">
        <v>7</v>
      </c>
      <c r="F13" s="100"/>
      <c r="G13" s="23">
        <f>Hoja1!I1</f>
        <v>0.87591200000000002</v>
      </c>
      <c r="H13" s="23">
        <f>Hoja1!J1</f>
        <v>1.2647060000000001</v>
      </c>
      <c r="I13" s="23">
        <f>Hoja1!K1</f>
        <v>0</v>
      </c>
      <c r="J13" s="24">
        <f>Hoja1!L1</f>
        <v>0</v>
      </c>
      <c r="K13" s="4"/>
      <c r="L13" s="6"/>
      <c r="M13" s="6"/>
      <c r="N13" s="6"/>
      <c r="O13" s="37"/>
    </row>
    <row r="14" spans="1:15" ht="16.5" x14ac:dyDescent="0.25">
      <c r="D14" s="36"/>
      <c r="E14" s="99" t="s">
        <v>8</v>
      </c>
      <c r="F14" s="100"/>
      <c r="G14" s="23">
        <f>Hoja1!M1</f>
        <v>0.49635000000000001</v>
      </c>
      <c r="H14" s="23">
        <f>Hoja1!N1</f>
        <v>1.1470590000000001</v>
      </c>
      <c r="I14" s="23">
        <f>Hoja1!O1</f>
        <v>0</v>
      </c>
      <c r="J14" s="24">
        <f>Hoja1!P1</f>
        <v>0</v>
      </c>
      <c r="K14" s="11"/>
      <c r="L14" s="12" t="s">
        <v>9</v>
      </c>
      <c r="M14" s="6"/>
      <c r="N14" s="6"/>
      <c r="O14" s="37"/>
    </row>
    <row r="15" spans="1:15" ht="12.75" x14ac:dyDescent="0.2">
      <c r="D15" s="36"/>
      <c r="E15" s="99" t="s">
        <v>10</v>
      </c>
      <c r="F15" s="100"/>
      <c r="G15" s="23">
        <f>Hoja1!Q1</f>
        <v>0.611765</v>
      </c>
      <c r="H15" s="23">
        <f>Hoja1!R1</f>
        <v>0.13333300000000001</v>
      </c>
      <c r="I15" s="23">
        <f>Hoja1!S1</f>
        <v>0</v>
      </c>
      <c r="J15" s="24">
        <f>Hoja1!T1</f>
        <v>0</v>
      </c>
      <c r="K15" s="4"/>
      <c r="L15" s="6"/>
      <c r="M15" s="6"/>
      <c r="N15" s="6"/>
      <c r="O15" s="37"/>
    </row>
    <row r="16" spans="1:15" ht="13.15" customHeight="1" x14ac:dyDescent="0.25">
      <c r="D16" s="36"/>
      <c r="E16" s="110" t="s">
        <v>11</v>
      </c>
      <c r="F16" s="111"/>
      <c r="G16" s="111"/>
      <c r="H16" s="111"/>
      <c r="I16" s="111"/>
      <c r="J16" s="112"/>
      <c r="K16" s="4"/>
      <c r="L16" s="6"/>
      <c r="M16" s="6"/>
      <c r="N16" s="6"/>
      <c r="O16" s="37"/>
    </row>
    <row r="17" spans="4:15" ht="12.75" x14ac:dyDescent="0.2">
      <c r="D17" s="36"/>
      <c r="E17" s="124" t="s">
        <v>12</v>
      </c>
      <c r="F17" s="125"/>
      <c r="G17" s="115">
        <f>Hoja1!U1</f>
        <v>565</v>
      </c>
      <c r="H17" s="116"/>
      <c r="I17" s="116"/>
      <c r="J17" s="117"/>
      <c r="K17" s="4"/>
      <c r="L17" s="6"/>
      <c r="M17" s="6"/>
      <c r="N17" s="6"/>
      <c r="O17" s="37"/>
    </row>
    <row r="18" spans="4:15" ht="13.5" thickBot="1" x14ac:dyDescent="0.25">
      <c r="D18" s="36"/>
      <c r="E18" s="126" t="s">
        <v>13</v>
      </c>
      <c r="F18" s="127"/>
      <c r="G18" s="118">
        <f>Hoja1!V1</f>
        <v>1130</v>
      </c>
      <c r="H18" s="119"/>
      <c r="I18" s="119"/>
      <c r="J18" s="120"/>
      <c r="K18" s="4"/>
      <c r="L18" s="6"/>
      <c r="M18" s="6"/>
      <c r="N18" s="6"/>
      <c r="O18" s="37"/>
    </row>
    <row r="19" spans="4:15" ht="14.25" thickTop="1" thickBot="1" x14ac:dyDescent="0.25">
      <c r="D19" s="36"/>
      <c r="E19" s="4"/>
      <c r="F19" s="4"/>
      <c r="G19" s="4"/>
      <c r="H19" s="4"/>
      <c r="I19" s="4"/>
      <c r="J19" s="4"/>
      <c r="K19" s="4"/>
      <c r="L19" s="6"/>
      <c r="M19" s="6"/>
      <c r="N19" s="6"/>
      <c r="O19" s="37"/>
    </row>
    <row r="20" spans="4:15" ht="16.5" thickTop="1" x14ac:dyDescent="0.25">
      <c r="D20" s="36"/>
      <c r="E20" s="75" t="s">
        <v>14</v>
      </c>
      <c r="F20" s="76"/>
      <c r="G20" s="76"/>
      <c r="H20" s="76"/>
      <c r="I20" s="76"/>
      <c r="J20" s="77"/>
      <c r="K20" s="4"/>
      <c r="L20" s="6"/>
      <c r="M20" s="6"/>
      <c r="N20" s="6"/>
      <c r="O20" s="37"/>
    </row>
    <row r="21" spans="4:15" ht="13.15" customHeight="1" x14ac:dyDescent="0.25">
      <c r="D21" s="36"/>
      <c r="E21" s="110" t="s">
        <v>15</v>
      </c>
      <c r="F21" s="111"/>
      <c r="G21" s="111"/>
      <c r="H21" s="111"/>
      <c r="I21" s="111"/>
      <c r="J21" s="112"/>
      <c r="K21" s="4"/>
      <c r="L21" s="6"/>
      <c r="M21" s="6"/>
      <c r="N21" s="6"/>
      <c r="O21" s="37"/>
    </row>
    <row r="22" spans="4:15" ht="12.75" x14ac:dyDescent="0.2">
      <c r="D22" s="36"/>
      <c r="E22" s="122"/>
      <c r="F22" s="123"/>
      <c r="G22" s="121" t="s">
        <v>16</v>
      </c>
      <c r="H22" s="88"/>
      <c r="I22" s="121" t="s">
        <v>17</v>
      </c>
      <c r="J22" s="89"/>
      <c r="K22" s="4"/>
      <c r="L22" s="6"/>
      <c r="M22" s="6"/>
      <c r="N22" s="6"/>
      <c r="O22" s="37"/>
    </row>
    <row r="23" spans="4:15" ht="12.75" x14ac:dyDescent="0.2">
      <c r="D23" s="36"/>
      <c r="E23" s="99" t="s">
        <v>18</v>
      </c>
      <c r="F23" s="100"/>
      <c r="G23" s="87">
        <f>Hoja1!AA1</f>
        <v>633189</v>
      </c>
      <c r="H23" s="88"/>
      <c r="I23" s="87">
        <f>Hoja1!W1</f>
        <v>783995</v>
      </c>
      <c r="J23" s="89"/>
      <c r="K23" s="4"/>
      <c r="L23" s="6"/>
      <c r="M23" s="6"/>
      <c r="N23" s="6"/>
      <c r="O23" s="37"/>
    </row>
    <row r="24" spans="4:15" ht="12.75" x14ac:dyDescent="0.2">
      <c r="D24" s="36"/>
      <c r="E24" s="99" t="s">
        <v>19</v>
      </c>
      <c r="F24" s="100"/>
      <c r="G24" s="87">
        <f>Hoja1!AB1</f>
        <v>1293541</v>
      </c>
      <c r="H24" s="88"/>
      <c r="I24" s="87">
        <f>Hoja1!X1</f>
        <v>1752257</v>
      </c>
      <c r="J24" s="89"/>
      <c r="K24" s="4"/>
      <c r="L24" s="6"/>
      <c r="M24" s="6"/>
      <c r="N24" s="6"/>
      <c r="O24" s="37"/>
    </row>
    <row r="25" spans="4:15" ht="12.75" x14ac:dyDescent="0.2">
      <c r="D25" s="36"/>
      <c r="E25" s="99" t="s">
        <v>20</v>
      </c>
      <c r="F25" s="100"/>
      <c r="G25" s="87">
        <f>Hoja1!AC1</f>
        <v>40234</v>
      </c>
      <c r="H25" s="88"/>
      <c r="I25" s="87">
        <f>Hoja1!Y1</f>
        <v>48269</v>
      </c>
      <c r="J25" s="89"/>
      <c r="K25" s="4"/>
      <c r="L25" s="6"/>
      <c r="M25" s="6"/>
      <c r="N25" s="6"/>
      <c r="O25" s="37"/>
    </row>
    <row r="26" spans="4:15" ht="12.75" x14ac:dyDescent="0.2">
      <c r="D26" s="36"/>
      <c r="E26" s="99" t="s">
        <v>21</v>
      </c>
      <c r="F26" s="100"/>
      <c r="G26" s="87">
        <f>Hoja1!AD1</f>
        <v>159918</v>
      </c>
      <c r="H26" s="88"/>
      <c r="I26" s="87">
        <f>Hoja1!Z1</f>
        <v>185648</v>
      </c>
      <c r="J26" s="89"/>
      <c r="K26" s="4"/>
      <c r="L26" s="6"/>
      <c r="M26" s="6"/>
      <c r="N26" s="6"/>
      <c r="O26" s="37"/>
    </row>
    <row r="27" spans="4:15" ht="16.5" x14ac:dyDescent="0.25">
      <c r="D27" s="36"/>
      <c r="E27" s="110" t="s">
        <v>22</v>
      </c>
      <c r="F27" s="111"/>
      <c r="G27" s="111"/>
      <c r="H27" s="111"/>
      <c r="I27" s="111"/>
      <c r="J27" s="112"/>
      <c r="K27" s="4"/>
      <c r="L27" s="6"/>
      <c r="M27" s="6"/>
      <c r="N27" s="6"/>
      <c r="O27" s="37"/>
    </row>
    <row r="28" spans="4:15" ht="12.75" x14ac:dyDescent="0.2">
      <c r="D28" s="36"/>
      <c r="E28" s="99" t="s">
        <v>23</v>
      </c>
      <c r="F28" s="100"/>
      <c r="G28" s="27" t="str">
        <f>Hoja1!AE1</f>
        <v>Primavera</v>
      </c>
      <c r="H28" s="98" t="s">
        <v>24</v>
      </c>
      <c r="I28" s="98"/>
      <c r="J28" s="14" t="str">
        <f>Hoja1!AF1</f>
        <v>Otonio</v>
      </c>
      <c r="K28" s="4"/>
      <c r="L28" s="6"/>
      <c r="M28" s="6"/>
      <c r="N28" s="6"/>
      <c r="O28" s="37"/>
    </row>
    <row r="29" spans="4:15" ht="12.75" x14ac:dyDescent="0.2">
      <c r="D29" s="36"/>
      <c r="E29" s="99" t="s">
        <v>25</v>
      </c>
      <c r="F29" s="100"/>
      <c r="G29" s="13">
        <f>Hoja1!AG1</f>
        <v>2006</v>
      </c>
      <c r="H29" s="98" t="s">
        <v>26</v>
      </c>
      <c r="I29" s="88"/>
      <c r="J29" s="14">
        <f>Hoja1!AH1</f>
        <v>2015</v>
      </c>
      <c r="K29" s="4"/>
      <c r="L29" s="6"/>
      <c r="M29" s="6"/>
      <c r="N29" s="6"/>
      <c r="O29" s="37"/>
    </row>
    <row r="30" spans="4:15" ht="12.75" x14ac:dyDescent="0.2">
      <c r="D30" s="36"/>
      <c r="E30" s="99" t="s">
        <v>27</v>
      </c>
      <c r="F30" s="100"/>
      <c r="G30" s="13">
        <f>Hoja1!AI1</f>
        <v>2</v>
      </c>
      <c r="H30" s="98" t="s">
        <v>28</v>
      </c>
      <c r="I30" s="88"/>
      <c r="J30" s="14">
        <f>Hoja1!AJ1</f>
        <v>2</v>
      </c>
      <c r="K30" s="4"/>
      <c r="L30" s="6"/>
      <c r="M30" s="6"/>
      <c r="N30" s="6"/>
      <c r="O30" s="37"/>
    </row>
    <row r="31" spans="4:15" ht="12.75" x14ac:dyDescent="0.2">
      <c r="D31" s="36"/>
      <c r="E31" s="99" t="s">
        <v>29</v>
      </c>
      <c r="F31" s="100"/>
      <c r="G31" s="13">
        <f>Hoja1!AK1</f>
        <v>1</v>
      </c>
      <c r="H31" s="98" t="s">
        <v>30</v>
      </c>
      <c r="I31" s="88"/>
      <c r="J31" s="14">
        <f>Hoja1!AL1</f>
        <v>1</v>
      </c>
      <c r="K31" s="4" t="s">
        <v>31</v>
      </c>
      <c r="L31" s="6"/>
      <c r="M31" s="6"/>
      <c r="N31" s="6"/>
      <c r="O31" s="37"/>
    </row>
    <row r="32" spans="4:15" ht="12.75" x14ac:dyDescent="0.2">
      <c r="D32" s="36"/>
      <c r="E32" s="99" t="s">
        <v>32</v>
      </c>
      <c r="F32" s="100"/>
      <c r="G32" s="13">
        <f>Hoja1!AM1</f>
        <v>0</v>
      </c>
      <c r="H32" s="98" t="s">
        <v>33</v>
      </c>
      <c r="I32" s="88"/>
      <c r="J32" s="14">
        <f>Hoja1!AN1</f>
        <v>0</v>
      </c>
      <c r="K32" s="4"/>
      <c r="L32" s="6"/>
      <c r="M32" s="6"/>
      <c r="N32" s="6"/>
      <c r="O32" s="37"/>
    </row>
    <row r="33" spans="4:15" ht="16.5" x14ac:dyDescent="0.25">
      <c r="D33" s="38"/>
      <c r="E33" s="107" t="s">
        <v>34</v>
      </c>
      <c r="F33" s="108"/>
      <c r="G33" s="108"/>
      <c r="H33" s="108"/>
      <c r="I33" s="108"/>
      <c r="J33" s="109"/>
      <c r="K33" s="4"/>
      <c r="L33" s="6"/>
      <c r="M33" s="6"/>
      <c r="N33" s="6"/>
      <c r="O33" s="37"/>
    </row>
    <row r="34" spans="4:15" ht="12.75" x14ac:dyDescent="0.2">
      <c r="D34" s="38"/>
      <c r="E34" s="90"/>
      <c r="F34" s="91"/>
      <c r="G34" s="15" t="s">
        <v>44</v>
      </c>
      <c r="H34" s="15" t="s">
        <v>35</v>
      </c>
      <c r="I34" s="15" t="s">
        <v>36</v>
      </c>
      <c r="J34" s="16" t="s">
        <v>37</v>
      </c>
      <c r="K34" s="4"/>
      <c r="L34" s="6"/>
      <c r="M34" s="6"/>
      <c r="N34" s="6"/>
      <c r="O34" s="37"/>
    </row>
    <row r="35" spans="4:15" ht="12.75" x14ac:dyDescent="0.2">
      <c r="D35" s="38"/>
      <c r="E35" s="92" t="s">
        <v>38</v>
      </c>
      <c r="F35" s="93"/>
      <c r="G35" s="17">
        <v>500000</v>
      </c>
      <c r="H35" s="17">
        <f>Hoja1!W1</f>
        <v>783995</v>
      </c>
      <c r="I35" s="26">
        <f>+(((H35-G35)/G35)*100)%</f>
        <v>0.56798999999999999</v>
      </c>
      <c r="J35" s="18" t="str">
        <f>IF(H35&lt;G35,"En decadencia","Estado sano")</f>
        <v>Estado sano</v>
      </c>
      <c r="K35" s="4"/>
      <c r="L35" s="6"/>
      <c r="M35" s="6"/>
      <c r="N35" s="6"/>
      <c r="O35" s="37"/>
    </row>
    <row r="36" spans="4:15" ht="12.75" x14ac:dyDescent="0.2">
      <c r="D36" s="38"/>
      <c r="E36" s="92" t="s">
        <v>39</v>
      </c>
      <c r="F36" s="93"/>
      <c r="G36" s="17">
        <v>200000</v>
      </c>
      <c r="H36" s="17">
        <f>Hoja1!X1</f>
        <v>1752257</v>
      </c>
      <c r="I36" s="26">
        <f>+(((H36-G36)/G36)*100)%</f>
        <v>7.761285</v>
      </c>
      <c r="J36" s="18" t="str">
        <f>IF(H36&lt;G36,"En decadencia","Estado sano")</f>
        <v>Estado sano</v>
      </c>
      <c r="K36" s="4"/>
      <c r="L36" s="6"/>
      <c r="M36" s="6"/>
      <c r="N36" s="6"/>
      <c r="O36" s="37"/>
    </row>
    <row r="37" spans="4:15" ht="15.75" customHeight="1" x14ac:dyDescent="0.2">
      <c r="D37" s="38"/>
      <c r="E37" s="94"/>
      <c r="F37" s="95"/>
      <c r="G37" s="68"/>
      <c r="H37" s="68"/>
      <c r="I37" s="69"/>
      <c r="J37" s="70"/>
      <c r="K37" s="6"/>
      <c r="L37" s="6"/>
      <c r="M37" s="6"/>
      <c r="N37" s="6"/>
      <c r="O37" s="37"/>
    </row>
    <row r="38" spans="4:15" ht="15.75" customHeight="1" thickBot="1" x14ac:dyDescent="0.25">
      <c r="D38" s="38"/>
      <c r="E38" s="96"/>
      <c r="F38" s="97"/>
      <c r="G38" s="71"/>
      <c r="H38" s="71"/>
      <c r="I38" s="72"/>
      <c r="J38" s="73"/>
      <c r="K38" s="6"/>
      <c r="L38" s="6"/>
      <c r="M38" s="6"/>
      <c r="N38" s="6"/>
      <c r="O38" s="37"/>
    </row>
    <row r="39" spans="4:15" ht="15.75" customHeight="1" thickTop="1" thickBot="1" x14ac:dyDescent="0.25">
      <c r="D39" s="38"/>
      <c r="E39" s="6"/>
      <c r="F39" s="6"/>
      <c r="G39" s="6"/>
      <c r="H39" s="6"/>
      <c r="I39" s="6"/>
      <c r="J39" s="6"/>
      <c r="K39" s="6"/>
      <c r="L39" s="6"/>
      <c r="M39" s="6"/>
      <c r="N39" s="6"/>
      <c r="O39" s="37"/>
    </row>
    <row r="40" spans="4:15" ht="15.75" customHeight="1" thickTop="1" x14ac:dyDescent="0.25">
      <c r="D40" s="38"/>
      <c r="E40" s="104" t="s">
        <v>2</v>
      </c>
      <c r="F40" s="105"/>
      <c r="G40" s="105"/>
      <c r="H40" s="105"/>
      <c r="I40" s="105"/>
      <c r="J40" s="106"/>
      <c r="K40" s="6"/>
      <c r="L40" s="6"/>
      <c r="M40" s="6"/>
      <c r="N40" s="6"/>
      <c r="O40" s="37"/>
    </row>
    <row r="41" spans="4:15" s="48" customFormat="1" ht="30" customHeight="1" x14ac:dyDescent="0.2">
      <c r="D41" s="44"/>
      <c r="E41" s="128"/>
      <c r="F41" s="129"/>
      <c r="G41" s="45" t="s">
        <v>40</v>
      </c>
      <c r="H41" s="45" t="s">
        <v>41</v>
      </c>
      <c r="I41" s="45" t="s">
        <v>42</v>
      </c>
      <c r="J41" s="74"/>
      <c r="K41" s="46"/>
      <c r="L41" s="46"/>
      <c r="M41" s="46"/>
      <c r="N41" s="46"/>
      <c r="O41" s="47"/>
    </row>
    <row r="42" spans="4:15" ht="15.75" customHeight="1" x14ac:dyDescent="0.2">
      <c r="D42" s="40"/>
      <c r="E42" s="130" t="s">
        <v>46</v>
      </c>
      <c r="F42" s="131"/>
      <c r="G42" s="13">
        <f>IF(H42&gt;0,(H42/4)+2006,"No hay desastre")</f>
        <v>2014.75</v>
      </c>
      <c r="H42" s="13">
        <f>Hoja1!AO1</f>
        <v>35</v>
      </c>
      <c r="I42" s="27" t="str">
        <f>IF(H42&gt;0,"Usuario","")</f>
        <v>Usuario</v>
      </c>
      <c r="J42" s="60"/>
      <c r="K42" s="28"/>
      <c r="L42" s="28"/>
      <c r="M42" s="28"/>
      <c r="N42" s="28"/>
      <c r="O42" s="39"/>
    </row>
    <row r="43" spans="4:15" ht="12.75" x14ac:dyDescent="0.2">
      <c r="D43" s="40"/>
      <c r="E43" s="130" t="s">
        <v>45</v>
      </c>
      <c r="F43" s="131"/>
      <c r="G43" s="13">
        <f>IF(H43&gt;0,(H43/4)+2006,"No hay desastre")</f>
        <v>2014.75</v>
      </c>
      <c r="H43" s="13">
        <f>Hoja1!AP1</f>
        <v>35</v>
      </c>
      <c r="I43" s="27" t="str">
        <f>IF(H43&gt;0,"Usuario","")</f>
        <v>Usuario</v>
      </c>
      <c r="J43" s="60"/>
      <c r="K43" s="28"/>
      <c r="L43" s="28"/>
      <c r="M43" s="28"/>
      <c r="N43" s="28"/>
      <c r="O43" s="39"/>
    </row>
    <row r="44" spans="4:15" ht="12.75" x14ac:dyDescent="0.2">
      <c r="D44" s="40"/>
      <c r="E44" s="130" t="s">
        <v>47</v>
      </c>
      <c r="F44" s="131"/>
      <c r="G44" s="13" t="str">
        <f>IF(H44&gt;0,(H44/4)+2006,"No hay desastre")</f>
        <v>No hay desastre</v>
      </c>
      <c r="H44" s="13">
        <f>Hoja1!AQ1</f>
        <v>0</v>
      </c>
      <c r="I44" s="27" t="str">
        <f>IF(H44&gt;0,"Usuario","")</f>
        <v/>
      </c>
      <c r="J44" s="60"/>
      <c r="K44" s="28"/>
      <c r="L44" s="28"/>
      <c r="M44" s="28"/>
      <c r="N44" s="28"/>
      <c r="O44" s="39"/>
    </row>
    <row r="45" spans="4:15" ht="12.75" x14ac:dyDescent="0.2">
      <c r="D45" s="40"/>
      <c r="E45" s="130" t="s">
        <v>48</v>
      </c>
      <c r="F45" s="131"/>
      <c r="G45" s="13" t="str">
        <f>IF(H45&gt;0,(H45/4)+2006,"No hay desastre")</f>
        <v>No hay desastre</v>
      </c>
      <c r="H45" s="13">
        <f>Hoja1!AR1</f>
        <v>0</v>
      </c>
      <c r="I45" s="27" t="str">
        <f>IF(H45&gt;0,"Usuario","")</f>
        <v/>
      </c>
      <c r="J45" s="60"/>
      <c r="K45" s="28"/>
      <c r="L45" s="28"/>
      <c r="M45" s="28"/>
      <c r="N45" s="28"/>
      <c r="O45" s="39"/>
    </row>
    <row r="46" spans="4:15" ht="12.75" x14ac:dyDescent="0.2">
      <c r="D46" s="40"/>
      <c r="E46" s="113"/>
      <c r="F46" s="114"/>
      <c r="G46" s="58"/>
      <c r="H46" s="58"/>
      <c r="I46" s="59"/>
      <c r="J46" s="60"/>
      <c r="K46" s="28"/>
      <c r="L46" s="28"/>
      <c r="M46" s="28"/>
      <c r="N46" s="28"/>
      <c r="O46" s="39"/>
    </row>
    <row r="47" spans="4:15" ht="16.5" x14ac:dyDescent="0.25">
      <c r="D47" s="40"/>
      <c r="E47" s="101"/>
      <c r="F47" s="102"/>
      <c r="G47" s="102"/>
      <c r="H47" s="102"/>
      <c r="I47" s="102"/>
      <c r="J47" s="103"/>
      <c r="K47" s="28"/>
      <c r="L47" s="28"/>
      <c r="M47" s="28"/>
      <c r="N47" s="28"/>
      <c r="O47" s="39"/>
    </row>
    <row r="48" spans="4:15" ht="12.75" x14ac:dyDescent="0.2">
      <c r="D48" s="40"/>
      <c r="E48" s="53"/>
      <c r="F48" s="54"/>
      <c r="G48" s="55"/>
      <c r="H48" s="55"/>
      <c r="I48" s="55"/>
      <c r="J48" s="56"/>
      <c r="K48" s="28"/>
      <c r="L48" s="28"/>
      <c r="M48" s="28"/>
      <c r="N48" s="28"/>
      <c r="O48" s="39"/>
    </row>
    <row r="49" spans="4:15" ht="12.75" x14ac:dyDescent="0.2">
      <c r="D49" s="40"/>
      <c r="E49" s="57"/>
      <c r="F49" s="58">
        <v>361</v>
      </c>
      <c r="G49" s="58">
        <v>308</v>
      </c>
      <c r="H49" s="58">
        <v>291</v>
      </c>
      <c r="I49" s="59">
        <v>450</v>
      </c>
      <c r="J49" s="60">
        <v>489</v>
      </c>
      <c r="K49" s="28"/>
      <c r="L49" s="28"/>
      <c r="M49" s="28"/>
      <c r="N49" s="28"/>
      <c r="O49" s="39"/>
    </row>
    <row r="50" spans="4:15" ht="12.75" x14ac:dyDescent="0.2">
      <c r="D50" s="40"/>
      <c r="E50" s="57"/>
      <c r="F50" s="58">
        <v>342</v>
      </c>
      <c r="G50" s="58">
        <v>142</v>
      </c>
      <c r="H50" s="58">
        <v>200</v>
      </c>
      <c r="I50" s="59">
        <v>410</v>
      </c>
      <c r="J50" s="60">
        <v>304</v>
      </c>
      <c r="K50" s="28"/>
      <c r="L50" s="28"/>
      <c r="M50" s="28"/>
      <c r="N50" s="28"/>
      <c r="O50" s="39"/>
    </row>
    <row r="51" spans="4:15" ht="12.75" x14ac:dyDescent="0.2">
      <c r="D51" s="40"/>
      <c r="E51" s="57"/>
      <c r="F51" s="58"/>
      <c r="G51" s="58"/>
      <c r="H51" s="58"/>
      <c r="I51" s="59"/>
      <c r="J51" s="60"/>
      <c r="K51" s="28"/>
      <c r="L51" s="28"/>
      <c r="M51" s="28"/>
      <c r="N51" s="28"/>
      <c r="O51" s="39"/>
    </row>
    <row r="52" spans="4:15" ht="12.75" x14ac:dyDescent="0.2">
      <c r="D52" s="40"/>
      <c r="E52" s="57"/>
      <c r="F52" s="58"/>
      <c r="G52" s="58"/>
      <c r="H52" s="58"/>
      <c r="I52" s="59"/>
      <c r="J52" s="60"/>
      <c r="K52" s="28"/>
      <c r="L52" s="28"/>
      <c r="M52" s="28"/>
      <c r="N52" s="28"/>
      <c r="O52" s="39"/>
    </row>
    <row r="53" spans="4:15" ht="12.75" x14ac:dyDescent="0.2">
      <c r="D53" s="40"/>
      <c r="E53" s="57"/>
      <c r="F53" s="58">
        <v>-110</v>
      </c>
      <c r="G53" s="58">
        <v>-181</v>
      </c>
      <c r="H53" s="58">
        <v>-188</v>
      </c>
      <c r="I53" s="58">
        <v>-154</v>
      </c>
      <c r="J53" s="60">
        <v>244</v>
      </c>
      <c r="K53" s="28"/>
      <c r="L53" s="28"/>
      <c r="M53" s="28"/>
      <c r="N53" s="28"/>
      <c r="O53" s="39"/>
    </row>
    <row r="54" spans="4:15" ht="15.75" customHeight="1" x14ac:dyDescent="0.2">
      <c r="D54" s="40"/>
      <c r="E54" s="57"/>
      <c r="F54" s="58">
        <v>-128</v>
      </c>
      <c r="G54" s="58">
        <v>-117</v>
      </c>
      <c r="H54" s="58">
        <v>-129</v>
      </c>
      <c r="I54" s="58">
        <v>-112</v>
      </c>
      <c r="J54" s="60">
        <v>421</v>
      </c>
      <c r="K54" s="28"/>
      <c r="L54" s="28"/>
      <c r="M54" s="28"/>
      <c r="N54" s="28"/>
      <c r="O54" s="39"/>
    </row>
    <row r="55" spans="4:15" ht="15.75" customHeight="1" x14ac:dyDescent="0.2">
      <c r="D55" s="40"/>
      <c r="E55" s="53"/>
      <c r="F55" s="61"/>
      <c r="G55" s="61"/>
      <c r="H55" s="61"/>
      <c r="I55" s="62"/>
      <c r="J55" s="63"/>
      <c r="K55" s="28"/>
      <c r="L55" s="28"/>
      <c r="M55" s="28"/>
      <c r="N55" s="28"/>
      <c r="O55" s="39"/>
    </row>
    <row r="56" spans="4:15" ht="16.899999999999999" customHeight="1" x14ac:dyDescent="0.2">
      <c r="D56" s="40"/>
      <c r="E56" s="53"/>
      <c r="F56" s="61"/>
      <c r="G56" s="61"/>
      <c r="H56" s="61"/>
      <c r="I56" s="62"/>
      <c r="J56" s="63"/>
      <c r="K56" s="28"/>
      <c r="L56" s="28"/>
      <c r="M56" s="28"/>
      <c r="N56" s="28"/>
      <c r="O56" s="39"/>
    </row>
    <row r="57" spans="4:15" ht="12.75" x14ac:dyDescent="0.2">
      <c r="D57" s="40"/>
      <c r="E57" s="53"/>
      <c r="F57" s="61"/>
      <c r="G57" s="61"/>
      <c r="H57" s="61"/>
      <c r="I57" s="62"/>
      <c r="J57" s="63"/>
      <c r="K57" s="28"/>
      <c r="L57" s="28"/>
      <c r="M57" s="28"/>
      <c r="N57" s="28"/>
      <c r="O57" s="39"/>
    </row>
    <row r="58" spans="4:15" ht="13.5" thickBot="1" x14ac:dyDescent="0.25">
      <c r="D58" s="40"/>
      <c r="E58" s="64"/>
      <c r="F58" s="65"/>
      <c r="G58" s="65"/>
      <c r="H58" s="65"/>
      <c r="I58" s="66"/>
      <c r="J58" s="67"/>
      <c r="K58" s="28"/>
      <c r="L58" s="28"/>
      <c r="M58" s="28"/>
      <c r="N58" s="28"/>
      <c r="O58" s="39"/>
    </row>
    <row r="59" spans="4:15" ht="13.5" thickTop="1" x14ac:dyDescent="0.2">
      <c r="D59" s="40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39"/>
    </row>
    <row r="60" spans="4:15" ht="12.75" x14ac:dyDescent="0.2">
      <c r="D60" s="40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39"/>
    </row>
    <row r="61" spans="4:15" ht="15.75" customHeight="1" thickBot="1" x14ac:dyDescent="0.25">
      <c r="D61" s="41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3"/>
    </row>
  </sheetData>
  <customSheetViews>
    <customSheetView guid="{1112E5C5-EAAF-418B-82E6-2A182D832C2B}" filter="1" showAutoFilter="1">
      <pageMargins left="0" right="0" top="0" bottom="0" header="0" footer="0"/>
      <autoFilter ref="K17" xr:uid="{97426C29-09FD-463B-B328-0AE43F0B00A6}"/>
    </customSheetView>
  </customSheetViews>
  <mergeCells count="59">
    <mergeCell ref="E41:F41"/>
    <mergeCell ref="E42:F42"/>
    <mergeCell ref="E43:F43"/>
    <mergeCell ref="E44:F44"/>
    <mergeCell ref="E45:F45"/>
    <mergeCell ref="E25:F25"/>
    <mergeCell ref="E26:F26"/>
    <mergeCell ref="E28:F28"/>
    <mergeCell ref="E29:F29"/>
    <mergeCell ref="E30:F30"/>
    <mergeCell ref="E17:F17"/>
    <mergeCell ref="E18:F18"/>
    <mergeCell ref="E22:F22"/>
    <mergeCell ref="E23:F23"/>
    <mergeCell ref="E24:F24"/>
    <mergeCell ref="E10:F10"/>
    <mergeCell ref="E11:F11"/>
    <mergeCell ref="E12:F12"/>
    <mergeCell ref="E13:F13"/>
    <mergeCell ref="E14:F14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H32:I32"/>
    <mergeCell ref="H29:I29"/>
    <mergeCell ref="H30:I30"/>
    <mergeCell ref="H28:I28"/>
    <mergeCell ref="E31:F31"/>
    <mergeCell ref="E32:F32"/>
    <mergeCell ref="E34:F34"/>
    <mergeCell ref="E35:F35"/>
    <mergeCell ref="E36:F36"/>
    <mergeCell ref="E37:F37"/>
    <mergeCell ref="E38:F38"/>
    <mergeCell ref="G23:H23"/>
    <mergeCell ref="G24:H24"/>
    <mergeCell ref="G25:H25"/>
    <mergeCell ref="G26:H26"/>
    <mergeCell ref="I23:J23"/>
    <mergeCell ref="I24:J24"/>
    <mergeCell ref="E9:J9"/>
    <mergeCell ref="F2:J3"/>
    <mergeCell ref="G5:J6"/>
    <mergeCell ref="F8:J8"/>
    <mergeCell ref="F7:J7"/>
    <mergeCell ref="F5:F6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AR1"/>
  <sheetViews>
    <sheetView workbookViewId="0">
      <selection activeCell="AR1" sqref="A1:AR1"/>
    </sheetView>
  </sheetViews>
  <sheetFormatPr baseColWidth="10" defaultRowHeight="12.75" x14ac:dyDescent="0.2"/>
  <cols>
    <col min="1" max="1" width="5" bestFit="1" customWidth="1"/>
    <col min="2" max="2" width="3" bestFit="1" customWidth="1"/>
    <col min="3" max="4" width="2" bestFit="1" customWidth="1"/>
    <col min="5" max="6" width="3" bestFit="1" customWidth="1"/>
    <col min="7" max="8" width="2" bestFit="1" customWidth="1"/>
    <col min="9" max="10" width="9" bestFit="1" customWidth="1"/>
    <col min="11" max="12" width="2" bestFit="1" customWidth="1"/>
    <col min="13" max="13" width="8" bestFit="1" customWidth="1"/>
    <col min="14" max="14" width="9" bestFit="1" customWidth="1"/>
    <col min="15" max="16" width="2" bestFit="1" customWidth="1"/>
    <col min="17" max="18" width="9" bestFit="1" customWidth="1"/>
    <col min="19" max="20" width="2" bestFit="1" customWidth="1"/>
    <col min="21" max="21" width="4" bestFit="1" customWidth="1"/>
    <col min="22" max="22" width="5" bestFit="1" customWidth="1"/>
    <col min="23" max="23" width="7" bestFit="1" customWidth="1"/>
    <col min="24" max="24" width="8" bestFit="1" customWidth="1"/>
    <col min="25" max="25" width="6" bestFit="1" customWidth="1"/>
    <col min="26" max="27" width="7" bestFit="1" customWidth="1"/>
    <col min="28" max="28" width="8" bestFit="1" customWidth="1"/>
    <col min="29" max="29" width="6" bestFit="1" customWidth="1"/>
    <col min="30" max="30" width="7" bestFit="1" customWidth="1"/>
    <col min="31" max="31" width="9.140625" bestFit="1" customWidth="1"/>
    <col min="32" max="32" width="6.42578125" bestFit="1" customWidth="1"/>
    <col min="33" max="34" width="5" bestFit="1" customWidth="1"/>
    <col min="35" max="40" width="2" bestFit="1" customWidth="1"/>
    <col min="41" max="42" width="3" bestFit="1" customWidth="1"/>
    <col min="43" max="44" width="2" bestFit="1" customWidth="1"/>
  </cols>
  <sheetData>
    <row r="1" spans="1:44" x14ac:dyDescent="0.2">
      <c r="A1">
        <v>1096</v>
      </c>
      <c r="B1">
        <v>34</v>
      </c>
      <c r="C1">
        <v>0</v>
      </c>
      <c r="D1">
        <v>0</v>
      </c>
      <c r="E1">
        <v>57</v>
      </c>
      <c r="F1">
        <v>45</v>
      </c>
      <c r="G1">
        <v>0</v>
      </c>
      <c r="H1">
        <v>0</v>
      </c>
      <c r="I1">
        <v>0.87591200000000002</v>
      </c>
      <c r="J1">
        <v>1.2647060000000001</v>
      </c>
      <c r="K1">
        <v>0</v>
      </c>
      <c r="L1">
        <v>0</v>
      </c>
      <c r="M1">
        <v>0.49635000000000001</v>
      </c>
      <c r="N1">
        <v>1.1470590000000001</v>
      </c>
      <c r="O1">
        <v>0</v>
      </c>
      <c r="P1">
        <v>0</v>
      </c>
      <c r="Q1">
        <v>0.611765</v>
      </c>
      <c r="R1">
        <v>0.13333300000000001</v>
      </c>
      <c r="S1">
        <v>0</v>
      </c>
      <c r="T1">
        <v>0</v>
      </c>
      <c r="U1">
        <v>565</v>
      </c>
      <c r="V1">
        <v>1130</v>
      </c>
      <c r="W1">
        <v>783995</v>
      </c>
      <c r="X1">
        <v>1752257</v>
      </c>
      <c r="Y1">
        <v>48269</v>
      </c>
      <c r="Z1">
        <v>185648</v>
      </c>
      <c r="AA1">
        <v>633189</v>
      </c>
      <c r="AB1">
        <v>1293541</v>
      </c>
      <c r="AC1">
        <v>40234</v>
      </c>
      <c r="AD1">
        <v>159918</v>
      </c>
      <c r="AE1" t="s">
        <v>49</v>
      </c>
      <c r="AF1" t="s">
        <v>50</v>
      </c>
      <c r="AG1">
        <v>2006</v>
      </c>
      <c r="AH1">
        <v>2015</v>
      </c>
      <c r="AI1">
        <v>2</v>
      </c>
      <c r="AJ1">
        <v>2</v>
      </c>
      <c r="AK1">
        <v>1</v>
      </c>
      <c r="AL1">
        <v>1</v>
      </c>
      <c r="AM1">
        <v>0</v>
      </c>
      <c r="AN1">
        <v>0</v>
      </c>
      <c r="AO1">
        <v>35</v>
      </c>
      <c r="AP1">
        <v>35</v>
      </c>
      <c r="AQ1">
        <v>0</v>
      </c>
      <c r="AR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REPORTE</vt:lpstr>
      <vt:lpstr>Hoja1</vt:lpstr>
      <vt:lpstr>Hoja1!DatosExternos_1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2023-12-04T06:38:37Z</dcterms:modified>
  <cp:category/>
  <cp:contentStatus/>
</cp:coreProperties>
</file>